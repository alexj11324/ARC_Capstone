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Event Summary" sheetId="2" state="visible" r:id="rId2"/>
    <sheet name="Model Parameters" sheetId="3" state="visible" r:id="rId3"/>
    <sheet name="New Event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County FIPS</t>
        </is>
      </c>
      <c r="C1" t="inlineStr">
        <is>
          <t>State</t>
        </is>
      </c>
      <c r="D1" t="inlineStr">
        <is>
          <t>Ground Truth Shelter Pop</t>
        </is>
      </c>
      <c r="E1" t="inlineStr">
        <is>
          <t>Planned Shelter Pop</t>
        </is>
      </c>
      <c r="F1" t="inlineStr">
        <is>
          <t>Actual Shelter Pop</t>
        </is>
      </c>
      <c r="G1" t="inlineStr">
        <is>
          <t>Est. Displaced Population</t>
        </is>
      </c>
      <c r="H1" t="inlineStr">
        <is>
          <t>Tier 1 Estimate (Deterministic)</t>
        </is>
      </c>
      <c r="I1" t="inlineStr">
        <is>
          <t>Tier 2 Estimate (ML Calibrated)</t>
        </is>
      </c>
    </row>
    <row r="2">
      <c r="A2" t="inlineStr">
        <is>
          <t>BERYL_2024</t>
        </is>
      </c>
      <c r="B2" t="n">
        <v>48039</v>
      </c>
      <c r="C2" t="inlineStr">
        <is>
          <t>TX</t>
        </is>
      </c>
      <c r="D2" t="n">
        <v>84</v>
      </c>
      <c r="E2" t="n">
        <v>84</v>
      </c>
      <c r="F2" t="inlineStr"/>
      <c r="G2" t="n">
        <v>48333.12</v>
      </c>
      <c r="H2" t="n">
        <v>352.0722523951914</v>
      </c>
      <c r="I2" t="n">
        <v>160.1529250216182</v>
      </c>
    </row>
    <row r="3">
      <c r="A3" t="inlineStr">
        <is>
          <t>BERYL_2024</t>
        </is>
      </c>
      <c r="B3" t="n">
        <v>48167</v>
      </c>
      <c r="C3" t="inlineStr">
        <is>
          <t>TX</t>
        </is>
      </c>
      <c r="D3" t="n">
        <v>5</v>
      </c>
      <c r="E3" t="inlineStr"/>
      <c r="F3" t="n">
        <v>5</v>
      </c>
      <c r="G3" t="n">
        <v>36108.16</v>
      </c>
      <c r="H3" t="n">
        <v>263.0221517056203</v>
      </c>
      <c r="I3" t="n">
        <v>231.8296512466623</v>
      </c>
    </row>
    <row r="4">
      <c r="A4" t="inlineStr">
        <is>
          <t>BERYL_2024</t>
        </is>
      </c>
      <c r="B4" t="n">
        <v>48201</v>
      </c>
      <c r="C4" t="inlineStr">
        <is>
          <t>TX</t>
        </is>
      </c>
      <c r="D4" t="n">
        <v>307</v>
      </c>
      <c r="E4" t="inlineStr"/>
      <c r="F4" t="n">
        <v>307</v>
      </c>
      <c r="G4" t="n">
        <v>17120.51</v>
      </c>
      <c r="H4" t="n">
        <v>124.7106852993226</v>
      </c>
      <c r="I4" t="n">
        <v>278.7189210685836</v>
      </c>
    </row>
    <row r="5">
      <c r="A5" t="inlineStr">
        <is>
          <t>BERYL_2024</t>
        </is>
      </c>
      <c r="B5" t="n">
        <v>48321</v>
      </c>
      <c r="C5" t="inlineStr">
        <is>
          <t>TX</t>
        </is>
      </c>
      <c r="D5" t="n">
        <v>27</v>
      </c>
      <c r="E5" t="n">
        <v>27</v>
      </c>
      <c r="F5" t="inlineStr"/>
      <c r="G5" t="n">
        <v>4756.4</v>
      </c>
      <c r="H5" t="n">
        <v>34.64697626167084</v>
      </c>
      <c r="I5" t="n">
        <v>44.2892586731092</v>
      </c>
    </row>
    <row r="6">
      <c r="A6" t="inlineStr">
        <is>
          <t>BERYL_2024</t>
        </is>
      </c>
      <c r="B6" t="n">
        <v>48339</v>
      </c>
      <c r="C6" t="inlineStr">
        <is>
          <t>TX</t>
        </is>
      </c>
      <c r="D6" t="n">
        <v>234</v>
      </c>
      <c r="E6" t="inlineStr"/>
      <c r="F6" t="n">
        <v>234</v>
      </c>
      <c r="G6" t="n">
        <v>0</v>
      </c>
      <c r="H6" t="n">
        <v>0</v>
      </c>
      <c r="I6" t="n">
        <v>192.8274734863381</v>
      </c>
    </row>
    <row r="7">
      <c r="A7" t="inlineStr">
        <is>
          <t>HELENE_2024</t>
        </is>
      </c>
      <c r="B7" t="n">
        <v>12015</v>
      </c>
      <c r="C7" t="inlineStr">
        <is>
          <t>FL</t>
        </is>
      </c>
      <c r="D7" t="n">
        <v>19</v>
      </c>
      <c r="E7" t="inlineStr"/>
      <c r="F7" t="n">
        <v>19</v>
      </c>
      <c r="G7" t="n">
        <v>57549.91</v>
      </c>
      <c r="H7" t="n">
        <v>419.2099835235248</v>
      </c>
      <c r="I7" t="n">
        <v>163.6952385074856</v>
      </c>
    </row>
    <row r="8">
      <c r="A8" t="inlineStr">
        <is>
          <t>HELENE_2024</t>
        </is>
      </c>
      <c r="B8" t="n">
        <v>12017</v>
      </c>
      <c r="C8" t="inlineStr">
        <is>
          <t>FL</t>
        </is>
      </c>
      <c r="D8" t="n">
        <v>62</v>
      </c>
      <c r="E8" t="inlineStr"/>
      <c r="F8" t="n">
        <v>62</v>
      </c>
      <c r="G8" t="n">
        <v>43090.96</v>
      </c>
      <c r="H8" t="n">
        <v>313.8868615365839</v>
      </c>
      <c r="I8" t="n">
        <v>156.3549238857664</v>
      </c>
    </row>
    <row r="9">
      <c r="A9" t="inlineStr">
        <is>
          <t>HELENE_2024</t>
        </is>
      </c>
      <c r="B9" t="n">
        <v>12029</v>
      </c>
      <c r="C9" t="inlineStr">
        <is>
          <t>FL</t>
        </is>
      </c>
      <c r="D9" t="n">
        <v>14</v>
      </c>
      <c r="E9" t="n">
        <v>14</v>
      </c>
      <c r="F9" t="inlineStr"/>
      <c r="G9" t="n">
        <v>5801.29</v>
      </c>
      <c r="H9" t="n">
        <v>42.258253493623</v>
      </c>
      <c r="I9" t="n">
        <v>44.81835610074876</v>
      </c>
    </row>
    <row r="10">
      <c r="A10" t="inlineStr">
        <is>
          <t>HELENE_2024</t>
        </is>
      </c>
      <c r="B10" t="n">
        <v>12037</v>
      </c>
      <c r="C10" t="inlineStr">
        <is>
          <t>FL</t>
        </is>
      </c>
      <c r="D10" t="n">
        <v>2</v>
      </c>
      <c r="E10" t="n">
        <v>2</v>
      </c>
      <c r="F10" t="inlineStr"/>
      <c r="G10" t="n">
        <v>2636.26</v>
      </c>
      <c r="H10" t="n">
        <v>19.20327088545798</v>
      </c>
      <c r="I10" t="n">
        <v>72.37091005359888</v>
      </c>
    </row>
    <row r="11">
      <c r="A11" t="inlineStr">
        <is>
          <t>HELENE_2024</t>
        </is>
      </c>
      <c r="B11" t="n">
        <v>12053</v>
      </c>
      <c r="C11" t="inlineStr">
        <is>
          <t>FL</t>
        </is>
      </c>
      <c r="D11" t="n">
        <v>4</v>
      </c>
      <c r="E11" t="inlineStr"/>
      <c r="F11" t="n">
        <v>4</v>
      </c>
      <c r="G11" t="n">
        <v>10646.24</v>
      </c>
      <c r="H11" t="n">
        <v>77.55025324952707</v>
      </c>
      <c r="I11" t="n">
        <v>176.9533228089642</v>
      </c>
    </row>
    <row r="12">
      <c r="A12" t="inlineStr">
        <is>
          <t>HELENE_2024</t>
        </is>
      </c>
      <c r="B12" t="n">
        <v>12057</v>
      </c>
      <c r="C12" t="inlineStr">
        <is>
          <t>FL</t>
        </is>
      </c>
      <c r="D12" t="n">
        <v>26</v>
      </c>
      <c r="E12" t="inlineStr"/>
      <c r="F12" t="n">
        <v>26</v>
      </c>
      <c r="G12" t="n">
        <v>143425.7</v>
      </c>
      <c r="H12" t="n">
        <v>1044.753768230915</v>
      </c>
      <c r="I12" t="n">
        <v>333.7030621314869</v>
      </c>
    </row>
    <row r="13">
      <c r="A13" t="inlineStr">
        <is>
          <t>HELENE_2024</t>
        </is>
      </c>
      <c r="B13" t="n">
        <v>12065</v>
      </c>
      <c r="C13" t="inlineStr">
        <is>
          <t>FL</t>
        </is>
      </c>
      <c r="D13" t="n">
        <v>15</v>
      </c>
      <c r="E13" t="n">
        <v>15</v>
      </c>
      <c r="F13" t="inlineStr"/>
      <c r="G13" t="n">
        <v>834.9</v>
      </c>
      <c r="H13" t="n">
        <v>6.081650088484776</v>
      </c>
      <c r="I13" t="n">
        <v>39.42879819485396</v>
      </c>
    </row>
    <row r="14">
      <c r="A14" t="inlineStr">
        <is>
          <t>HELENE_2024</t>
        </is>
      </c>
      <c r="B14" t="n">
        <v>12067</v>
      </c>
      <c r="C14" t="inlineStr">
        <is>
          <t>FL</t>
        </is>
      </c>
      <c r="D14" t="n">
        <v>5</v>
      </c>
      <c r="E14" t="n">
        <v>5</v>
      </c>
      <c r="F14" t="inlineStr"/>
      <c r="G14" t="n">
        <v>609.7299999999999</v>
      </c>
      <c r="H14" t="n">
        <v>4.441447488863123</v>
      </c>
      <c r="I14" t="n">
        <v>29.26379845736344</v>
      </c>
    </row>
    <row r="15">
      <c r="A15" t="inlineStr">
        <is>
          <t>HELENE_2024</t>
        </is>
      </c>
      <c r="B15" t="n">
        <v>12073</v>
      </c>
      <c r="C15" t="inlineStr">
        <is>
          <t>FL</t>
        </is>
      </c>
      <c r="D15" t="n">
        <v>37</v>
      </c>
      <c r="E15" t="n">
        <v>37</v>
      </c>
      <c r="F15" t="inlineStr"/>
      <c r="G15" t="n">
        <v>4731.099999999999</v>
      </c>
      <c r="H15" t="n">
        <v>34.46268383474706</v>
      </c>
      <c r="I15" t="n">
        <v>185.6049492636206</v>
      </c>
    </row>
    <row r="16">
      <c r="A16" t="inlineStr">
        <is>
          <t>HELENE_2024</t>
        </is>
      </c>
      <c r="B16" t="n">
        <v>12079</v>
      </c>
      <c r="C16" t="inlineStr">
        <is>
          <t>FL</t>
        </is>
      </c>
      <c r="D16" t="n">
        <v>29</v>
      </c>
      <c r="E16" t="n">
        <v>29</v>
      </c>
      <c r="F16" t="inlineStr"/>
      <c r="G16" t="n">
        <v>172.04</v>
      </c>
      <c r="H16" t="n">
        <v>1.253188503081711</v>
      </c>
      <c r="I16" t="n">
        <v>30.87587745261414</v>
      </c>
    </row>
    <row r="17">
      <c r="A17" t="inlineStr">
        <is>
          <t>HELENE_2024</t>
        </is>
      </c>
      <c r="B17" t="n">
        <v>12081</v>
      </c>
      <c r="C17" t="inlineStr">
        <is>
          <t>FL</t>
        </is>
      </c>
      <c r="D17" t="n">
        <v>33</v>
      </c>
      <c r="E17" t="inlineStr"/>
      <c r="F17" t="n">
        <v>33</v>
      </c>
      <c r="G17" t="n">
        <v>53517.09</v>
      </c>
      <c r="H17" t="n">
        <v>389.8337706718741</v>
      </c>
      <c r="I17" t="n">
        <v>246.3552217125943</v>
      </c>
    </row>
    <row r="18">
      <c r="A18" t="inlineStr">
        <is>
          <t>HELENE_2024</t>
        </is>
      </c>
      <c r="B18" t="n">
        <v>12101</v>
      </c>
      <c r="C18" t="inlineStr">
        <is>
          <t>FL</t>
        </is>
      </c>
      <c r="D18" t="n">
        <v>91</v>
      </c>
      <c r="E18" t="inlineStr"/>
      <c r="F18" t="n">
        <v>91</v>
      </c>
      <c r="G18" t="n">
        <v>88775.17</v>
      </c>
      <c r="H18" t="n">
        <v>646.6636968328554</v>
      </c>
      <c r="I18" t="n">
        <v>368.8087746427473</v>
      </c>
    </row>
    <row r="19">
      <c r="A19" t="inlineStr">
        <is>
          <t>HELENE_2024</t>
        </is>
      </c>
      <c r="B19" t="n">
        <v>12103</v>
      </c>
      <c r="C19" t="inlineStr">
        <is>
          <t>FL</t>
        </is>
      </c>
      <c r="D19" t="n">
        <v>117</v>
      </c>
      <c r="E19" t="inlineStr"/>
      <c r="F19" t="n">
        <v>117</v>
      </c>
      <c r="G19" t="n">
        <v>195402.02</v>
      </c>
      <c r="H19" t="n">
        <v>1423.364130103131</v>
      </c>
      <c r="I19" t="n">
        <v>365.1420267253885</v>
      </c>
    </row>
    <row r="20">
      <c r="A20" t="inlineStr">
        <is>
          <t>HELENE_2024</t>
        </is>
      </c>
      <c r="B20" t="n">
        <v>12121</v>
      </c>
      <c r="C20" t="inlineStr">
        <is>
          <t>FL</t>
        </is>
      </c>
      <c r="D20" t="n">
        <v>6</v>
      </c>
      <c r="E20" t="n">
        <v>6</v>
      </c>
      <c r="F20" t="inlineStr"/>
      <c r="G20" t="n">
        <v>589.49</v>
      </c>
      <c r="H20" t="n">
        <v>4.294013547324099</v>
      </c>
      <c r="I20" t="n">
        <v>33.9630426802504</v>
      </c>
    </row>
    <row r="21">
      <c r="A21" t="inlineStr">
        <is>
          <t>HELENE_2024</t>
        </is>
      </c>
      <c r="B21" t="n">
        <v>12123</v>
      </c>
      <c r="C21" t="inlineStr">
        <is>
          <t>FL</t>
        </is>
      </c>
      <c r="D21" t="n">
        <v>57</v>
      </c>
      <c r="E21" t="n">
        <v>57</v>
      </c>
      <c r="F21" t="inlineStr"/>
      <c r="G21" t="n">
        <v>5988.509999999999</v>
      </c>
      <c r="H21" t="n">
        <v>43.62201745285898</v>
      </c>
      <c r="I21" t="n">
        <v>46.21915196517824</v>
      </c>
    </row>
    <row r="22">
      <c r="A22" t="inlineStr">
        <is>
          <t>HELENE_2024</t>
        </is>
      </c>
      <c r="B22" t="n">
        <v>12129</v>
      </c>
      <c r="C22" t="inlineStr">
        <is>
          <t>FL</t>
        </is>
      </c>
      <c r="D22" t="n">
        <v>34</v>
      </c>
      <c r="E22" t="n">
        <v>34</v>
      </c>
      <c r="F22" t="inlineStr"/>
      <c r="G22" t="n">
        <v>3929.09</v>
      </c>
      <c r="H22" t="n">
        <v>28.6206139012632</v>
      </c>
      <c r="I22" t="n">
        <v>60.3430617335282</v>
      </c>
    </row>
    <row r="23">
      <c r="A23" t="inlineStr">
        <is>
          <t>IDA_2021</t>
        </is>
      </c>
      <c r="B23" t="n">
        <v>22005</v>
      </c>
      <c r="C23" t="inlineStr">
        <is>
          <t>LA</t>
        </is>
      </c>
      <c r="D23" t="n">
        <v>110</v>
      </c>
      <c r="E23" t="n">
        <v>22</v>
      </c>
      <c r="F23" t="n">
        <v>110</v>
      </c>
      <c r="G23" t="n">
        <v>8042.869999999999</v>
      </c>
      <c r="H23" t="n">
        <v>58.58656251907</v>
      </c>
      <c r="I23" t="n">
        <v>79.87237765088459</v>
      </c>
    </row>
    <row r="24">
      <c r="A24" t="inlineStr">
        <is>
          <t>IDA_2021</t>
        </is>
      </c>
      <c r="B24" t="n">
        <v>22007</v>
      </c>
      <c r="C24" t="inlineStr">
        <is>
          <t>LA</t>
        </is>
      </c>
      <c r="D24" t="n">
        <v>46</v>
      </c>
      <c r="E24" t="n">
        <v>9</v>
      </c>
      <c r="F24" t="n">
        <v>46</v>
      </c>
      <c r="G24" t="n">
        <v>3261.17</v>
      </c>
      <c r="H24" t="n">
        <v>23.75529383047538</v>
      </c>
      <c r="I24" t="n">
        <v>30.03622014383894</v>
      </c>
    </row>
    <row r="25">
      <c r="A25" t="inlineStr">
        <is>
          <t>IDA_2021</t>
        </is>
      </c>
      <c r="B25" t="n">
        <v>22033</v>
      </c>
      <c r="C25" t="inlineStr">
        <is>
          <t>LA</t>
        </is>
      </c>
      <c r="D25" t="n">
        <v>422</v>
      </c>
      <c r="E25" t="n">
        <v>14</v>
      </c>
      <c r="F25" t="n">
        <v>422</v>
      </c>
      <c r="G25" t="n">
        <v>7782.28</v>
      </c>
      <c r="H25" t="n">
        <v>56.68835052175506</v>
      </c>
      <c r="I25" t="n">
        <v>218.4919213661958</v>
      </c>
    </row>
    <row r="26">
      <c r="A26" t="inlineStr">
        <is>
          <t>IDA_2021</t>
        </is>
      </c>
      <c r="B26" t="n">
        <v>22051</v>
      </c>
      <c r="C26" t="inlineStr">
        <is>
          <t>LA</t>
        </is>
      </c>
      <c r="D26" t="n">
        <v>448</v>
      </c>
      <c r="E26" t="n">
        <v>448</v>
      </c>
      <c r="F26" t="inlineStr"/>
      <c r="G26" t="n">
        <v>276885.73</v>
      </c>
      <c r="H26" t="n">
        <v>2016.914749496552</v>
      </c>
      <c r="I26" t="n">
        <v>83.09327992320404</v>
      </c>
    </row>
    <row r="27">
      <c r="A27" t="inlineStr">
        <is>
          <t>IDA_2021</t>
        </is>
      </c>
      <c r="B27" t="n">
        <v>22057</v>
      </c>
      <c r="C27" t="inlineStr">
        <is>
          <t>LA</t>
        </is>
      </c>
      <c r="D27" t="n">
        <v>302</v>
      </c>
      <c r="E27" t="n">
        <v>302</v>
      </c>
      <c r="F27" t="inlineStr"/>
      <c r="G27" t="n">
        <v>41459.10999999999</v>
      </c>
      <c r="H27" t="n">
        <v>302</v>
      </c>
      <c r="I27" t="n">
        <v>40.58140572177131</v>
      </c>
    </row>
    <row r="28">
      <c r="A28" t="inlineStr">
        <is>
          <t>IDA_2021</t>
        </is>
      </c>
      <c r="B28" t="n">
        <v>22063</v>
      </c>
      <c r="C28" t="inlineStr">
        <is>
          <t>LA</t>
        </is>
      </c>
      <c r="D28" t="n">
        <v>64</v>
      </c>
      <c r="E28" t="n">
        <v>25</v>
      </c>
      <c r="F28" t="n">
        <v>64</v>
      </c>
      <c r="G28" t="n">
        <v>16490.54</v>
      </c>
      <c r="H28" t="n">
        <v>120.1218038689205</v>
      </c>
      <c r="I28" t="n">
        <v>58.82964554493632</v>
      </c>
    </row>
    <row r="29">
      <c r="A29" t="inlineStr">
        <is>
          <t>IDA_2021</t>
        </is>
      </c>
      <c r="B29" t="n">
        <v>22071</v>
      </c>
      <c r="C29" t="inlineStr">
        <is>
          <t>LA</t>
        </is>
      </c>
      <c r="D29" t="n">
        <v>392</v>
      </c>
      <c r="E29" t="n">
        <v>392</v>
      </c>
      <c r="F29" t="inlineStr"/>
      <c r="G29" t="n">
        <v>259347.77</v>
      </c>
      <c r="H29" t="n">
        <v>1889.163239152987</v>
      </c>
      <c r="I29" t="n">
        <v>33.39779548973166</v>
      </c>
    </row>
    <row r="30">
      <c r="A30" t="inlineStr">
        <is>
          <t>IDA_2021</t>
        </is>
      </c>
      <c r="B30" t="n">
        <v>22075</v>
      </c>
      <c r="C30" t="inlineStr">
        <is>
          <t>LA</t>
        </is>
      </c>
      <c r="D30" t="n">
        <v>23</v>
      </c>
      <c r="E30" t="n">
        <v>23</v>
      </c>
      <c r="F30" t="inlineStr"/>
      <c r="G30" t="n">
        <v>18117.33</v>
      </c>
      <c r="H30" t="n">
        <v>131.9718069201196</v>
      </c>
      <c r="I30" t="n">
        <v>49.52919155083007</v>
      </c>
    </row>
    <row r="31">
      <c r="A31" t="inlineStr">
        <is>
          <t>IDA_2021</t>
        </is>
      </c>
      <c r="B31" t="n">
        <v>22087</v>
      </c>
      <c r="C31" t="inlineStr">
        <is>
          <t>LA</t>
        </is>
      </c>
      <c r="D31" t="n">
        <v>45</v>
      </c>
      <c r="E31" t="n">
        <v>45</v>
      </c>
      <c r="F31" t="inlineStr"/>
      <c r="G31" t="n">
        <v>36945.59</v>
      </c>
      <c r="H31" t="n">
        <v>269.1222310367975</v>
      </c>
      <c r="I31" t="n">
        <v>25.1884636175661</v>
      </c>
    </row>
    <row r="32">
      <c r="A32" t="inlineStr">
        <is>
          <t>IDA_2021</t>
        </is>
      </c>
      <c r="B32" t="n">
        <v>22089</v>
      </c>
      <c r="C32" t="inlineStr">
        <is>
          <t>LA</t>
        </is>
      </c>
      <c r="D32" t="n">
        <v>134</v>
      </c>
      <c r="E32" t="n">
        <v>134</v>
      </c>
      <c r="F32" t="inlineStr"/>
      <c r="G32" t="n">
        <v>40510.35999999999</v>
      </c>
      <c r="H32" t="n">
        <v>295.0890339903582</v>
      </c>
      <c r="I32" t="n">
        <v>42.67654313967305</v>
      </c>
    </row>
    <row r="33">
      <c r="A33" t="inlineStr">
        <is>
          <t>IDA_2021</t>
        </is>
      </c>
      <c r="B33" t="n">
        <v>22093</v>
      </c>
      <c r="C33" t="inlineStr">
        <is>
          <t>LA</t>
        </is>
      </c>
      <c r="D33" t="n">
        <v>38</v>
      </c>
      <c r="E33" t="n">
        <v>13</v>
      </c>
      <c r="F33" t="n">
        <v>38</v>
      </c>
      <c r="G33" t="n">
        <v>2939.86</v>
      </c>
      <c r="H33" t="n">
        <v>21.41478000854336</v>
      </c>
      <c r="I33" t="n">
        <v>56.590860383626</v>
      </c>
    </row>
    <row r="34">
      <c r="A34" t="inlineStr">
        <is>
          <t>IDA_2021</t>
        </is>
      </c>
      <c r="B34" t="n">
        <v>22095</v>
      </c>
      <c r="C34" t="inlineStr">
        <is>
          <t>LA</t>
        </is>
      </c>
      <c r="D34" t="n">
        <v>28</v>
      </c>
      <c r="E34" t="n">
        <v>28</v>
      </c>
      <c r="F34" t="inlineStr"/>
      <c r="G34" t="n">
        <v>8761.389999999999</v>
      </c>
      <c r="H34" t="n">
        <v>63.82046744370538</v>
      </c>
      <c r="I34" t="n">
        <v>322.737892367095</v>
      </c>
    </row>
    <row r="35">
      <c r="A35" t="inlineStr">
        <is>
          <t>IDA_2021</t>
        </is>
      </c>
      <c r="B35" t="n">
        <v>22101</v>
      </c>
      <c r="C35" t="inlineStr">
        <is>
          <t>LA</t>
        </is>
      </c>
      <c r="D35" t="n">
        <v>58</v>
      </c>
      <c r="E35" t="inlineStr"/>
      <c r="F35" t="n">
        <v>58</v>
      </c>
      <c r="G35" t="n">
        <v>30043.75</v>
      </c>
      <c r="H35" t="n">
        <v>218.84725697199</v>
      </c>
      <c r="I35" t="n">
        <v>24.93542227874167</v>
      </c>
    </row>
    <row r="36">
      <c r="A36" t="inlineStr">
        <is>
          <t>IDA_2021</t>
        </is>
      </c>
      <c r="B36" t="n">
        <v>22103</v>
      </c>
      <c r="C36" t="inlineStr">
        <is>
          <t>LA</t>
        </is>
      </c>
      <c r="D36" t="n">
        <v>93</v>
      </c>
      <c r="E36" t="n">
        <v>52</v>
      </c>
      <c r="F36" t="n">
        <v>93</v>
      </c>
      <c r="G36" t="n">
        <v>14433.65</v>
      </c>
      <c r="H36" t="n">
        <v>105.1388295600171</v>
      </c>
      <c r="I36" t="n">
        <v>71.99211520857392</v>
      </c>
    </row>
    <row r="37">
      <c r="A37" t="inlineStr">
        <is>
          <t>IDA_2021</t>
        </is>
      </c>
      <c r="B37" t="n">
        <v>22105</v>
      </c>
      <c r="C37" t="inlineStr">
        <is>
          <t>LA</t>
        </is>
      </c>
      <c r="D37" t="n">
        <v>311</v>
      </c>
      <c r="E37" t="n">
        <v>81</v>
      </c>
      <c r="F37" t="n">
        <v>311</v>
      </c>
      <c r="G37" t="n">
        <v>9355.940000000001</v>
      </c>
      <c r="H37" t="n">
        <v>68.15133947641424</v>
      </c>
      <c r="I37" t="n">
        <v>28.55457536016293</v>
      </c>
    </row>
    <row r="38">
      <c r="A38" t="inlineStr">
        <is>
          <t>IDA_2021</t>
        </is>
      </c>
      <c r="B38" t="n">
        <v>22109</v>
      </c>
      <c r="C38" t="inlineStr">
        <is>
          <t>LA</t>
        </is>
      </c>
      <c r="D38" t="n">
        <v>509</v>
      </c>
      <c r="E38" t="n">
        <v>509</v>
      </c>
      <c r="F38" t="inlineStr"/>
      <c r="G38" t="n">
        <v>42448.34</v>
      </c>
      <c r="H38" t="n">
        <v>309.2058338927199</v>
      </c>
      <c r="I38" t="n">
        <v>72.84514827881897</v>
      </c>
    </row>
    <row r="39">
      <c r="A39" t="inlineStr">
        <is>
          <t>IDA_2021</t>
        </is>
      </c>
      <c r="B39" t="n">
        <v>22117</v>
      </c>
      <c r="C39" t="inlineStr">
        <is>
          <t>LA</t>
        </is>
      </c>
      <c r="D39" t="n">
        <v>22</v>
      </c>
      <c r="E39" t="inlineStr"/>
      <c r="F39" t="n">
        <v>22</v>
      </c>
      <c r="G39" t="n">
        <v>2.53</v>
      </c>
      <c r="H39" t="n">
        <v>0.0184292426923781</v>
      </c>
      <c r="I39" t="n">
        <v>14.49491946739722</v>
      </c>
    </row>
    <row r="40">
      <c r="A40" t="inlineStr">
        <is>
          <t>MILTON_2024</t>
        </is>
      </c>
      <c r="B40" t="n">
        <v>12015</v>
      </c>
      <c r="C40" t="inlineStr">
        <is>
          <t>FL</t>
        </is>
      </c>
      <c r="D40" t="n">
        <v>49</v>
      </c>
      <c r="E40" t="n">
        <v>49</v>
      </c>
      <c r="F40" t="inlineStr"/>
      <c r="G40" t="n">
        <v>48257.21999999999</v>
      </c>
      <c r="H40" t="n">
        <v>351.51937511442</v>
      </c>
      <c r="I40" t="n">
        <v>87.87328391401591</v>
      </c>
    </row>
    <row r="41">
      <c r="A41" t="inlineStr">
        <is>
          <t>MILTON_2024</t>
        </is>
      </c>
      <c r="B41" t="n">
        <v>12021</v>
      </c>
      <c r="C41" t="inlineStr">
        <is>
          <t>FL</t>
        </is>
      </c>
      <c r="D41" t="n">
        <v>14</v>
      </c>
      <c r="E41" t="inlineStr"/>
      <c r="F41" t="n">
        <v>14</v>
      </c>
      <c r="G41" t="n">
        <v>29261.98</v>
      </c>
      <c r="H41" t="n">
        <v>213.1526209800452</v>
      </c>
      <c r="I41" t="n">
        <v>62.67303658763598</v>
      </c>
    </row>
    <row r="42">
      <c r="A42" t="inlineStr">
        <is>
          <t>MILTON_2024</t>
        </is>
      </c>
      <c r="B42" t="n">
        <v>12027</v>
      </c>
      <c r="C42" t="inlineStr">
        <is>
          <t>FL</t>
        </is>
      </c>
      <c r="D42" t="n">
        <v>5</v>
      </c>
      <c r="E42" t="n">
        <v>5</v>
      </c>
      <c r="F42" t="inlineStr"/>
      <c r="G42" t="n">
        <v>3486.34</v>
      </c>
      <c r="H42" t="n">
        <v>25.39549643009703</v>
      </c>
      <c r="I42" t="n">
        <v>25.15104164581218</v>
      </c>
    </row>
    <row r="43">
      <c r="A43" t="inlineStr">
        <is>
          <t>MILTON_2024</t>
        </is>
      </c>
      <c r="B43" t="n">
        <v>12049</v>
      </c>
      <c r="C43" t="inlineStr">
        <is>
          <t>FL</t>
        </is>
      </c>
      <c r="D43" t="n">
        <v>4</v>
      </c>
      <c r="E43" t="n">
        <v>4</v>
      </c>
      <c r="F43" t="inlineStr"/>
      <c r="G43" t="n">
        <v>1292.83</v>
      </c>
      <c r="H43" t="n">
        <v>9.417343015805214</v>
      </c>
      <c r="I43" t="n">
        <v>26.8188168779789</v>
      </c>
    </row>
    <row r="44">
      <c r="A44" t="inlineStr">
        <is>
          <t>MILTON_2024</t>
        </is>
      </c>
      <c r="B44" t="n">
        <v>12057</v>
      </c>
      <c r="C44" t="inlineStr">
        <is>
          <t>FL</t>
        </is>
      </c>
      <c r="D44" t="n">
        <v>726</v>
      </c>
      <c r="E44" t="n">
        <v>726</v>
      </c>
      <c r="F44" t="inlineStr"/>
      <c r="G44" t="n">
        <v>48290.10999999999</v>
      </c>
      <c r="H44" t="n">
        <v>351.7589552694209</v>
      </c>
      <c r="I44" t="n">
        <v>113.6304449538246</v>
      </c>
    </row>
    <row r="45">
      <c r="A45" t="inlineStr">
        <is>
          <t>MILTON_2024</t>
        </is>
      </c>
      <c r="B45" t="n">
        <v>12071</v>
      </c>
      <c r="C45" t="inlineStr">
        <is>
          <t>FL</t>
        </is>
      </c>
      <c r="D45" t="n">
        <v>108</v>
      </c>
      <c r="E45" t="inlineStr"/>
      <c r="F45" t="n">
        <v>108</v>
      </c>
      <c r="G45" t="n">
        <v>29719.91</v>
      </c>
      <c r="H45" t="n">
        <v>216.4883139073656</v>
      </c>
      <c r="I45" t="n">
        <v>49.11313091961863</v>
      </c>
    </row>
    <row r="46">
      <c r="A46" t="inlineStr">
        <is>
          <t>MILTON_2024</t>
        </is>
      </c>
      <c r="B46" t="n">
        <v>12081</v>
      </c>
      <c r="C46" t="inlineStr">
        <is>
          <t>FL</t>
        </is>
      </c>
      <c r="D46" t="n">
        <v>397</v>
      </c>
      <c r="E46" t="n">
        <v>397</v>
      </c>
      <c r="F46" t="inlineStr"/>
      <c r="G46" t="n">
        <v>17095.21</v>
      </c>
      <c r="H46" t="n">
        <v>124.5263928723989</v>
      </c>
      <c r="I46" t="n">
        <v>52.80456451313242</v>
      </c>
    </row>
    <row r="47">
      <c r="A47" t="inlineStr">
        <is>
          <t>MILTON_2024</t>
        </is>
      </c>
      <c r="B47" t="n">
        <v>12103</v>
      </c>
      <c r="C47" t="inlineStr">
        <is>
          <t>FL</t>
        </is>
      </c>
      <c r="D47" t="n">
        <v>403</v>
      </c>
      <c r="E47" t="n">
        <v>403</v>
      </c>
      <c r="F47" t="inlineStr"/>
      <c r="G47" t="n">
        <v>10443.84</v>
      </c>
      <c r="H47" t="n">
        <v>76.07591383413683</v>
      </c>
      <c r="I47" t="n">
        <v>101.8513930627577</v>
      </c>
    </row>
    <row r="48">
      <c r="A48" t="inlineStr">
        <is>
          <t>MILTON_2024</t>
        </is>
      </c>
      <c r="B48" t="n">
        <v>12115</v>
      </c>
      <c r="C48" t="inlineStr">
        <is>
          <t>FL</t>
        </is>
      </c>
      <c r="D48" t="n">
        <v>432</v>
      </c>
      <c r="E48" t="n">
        <v>432</v>
      </c>
      <c r="F48" t="inlineStr"/>
      <c r="G48" t="n">
        <v>48161.07999999999</v>
      </c>
      <c r="H48" t="n">
        <v>350.8190638921096</v>
      </c>
      <c r="I48" t="n">
        <v>56.91363774684658</v>
      </c>
    </row>
    <row r="49">
      <c r="A49" t="inlineStr">
        <is>
          <t>FLORENCE_2018</t>
        </is>
      </c>
      <c r="B49" t="n">
        <v>37031</v>
      </c>
      <c r="C49" t="inlineStr">
        <is>
          <t>NC</t>
        </is>
      </c>
      <c r="D49" t="n">
        <v>534</v>
      </c>
      <c r="E49" t="n">
        <v>534</v>
      </c>
      <c r="F49" t="inlineStr"/>
      <c r="G49" t="n">
        <v>4245.339999999999</v>
      </c>
      <c r="H49" t="n">
        <v>30.92426923781046</v>
      </c>
      <c r="I49" t="n">
        <v>34.64266411836317</v>
      </c>
    </row>
    <row r="50">
      <c r="A50" t="inlineStr">
        <is>
          <t>FLORENCE_2018</t>
        </is>
      </c>
      <c r="B50" t="n">
        <v>37049</v>
      </c>
      <c r="C50" t="inlineStr">
        <is>
          <t>NC</t>
        </is>
      </c>
      <c r="D50" t="n">
        <v>781</v>
      </c>
      <c r="E50" t="n">
        <v>781</v>
      </c>
      <c r="F50" t="inlineStr"/>
      <c r="G50" t="n">
        <v>4794.349999999999</v>
      </c>
      <c r="H50" t="n">
        <v>34.92341490205651</v>
      </c>
      <c r="I50" t="n">
        <v>43.44515652556341</v>
      </c>
    </row>
    <row r="51">
      <c r="A51" t="inlineStr">
        <is>
          <t>FLORENCE_2018</t>
        </is>
      </c>
      <c r="B51" t="n">
        <v>37137</v>
      </c>
      <c r="C51" t="inlineStr">
        <is>
          <t>NC</t>
        </is>
      </c>
      <c r="D51" t="n">
        <v>111</v>
      </c>
      <c r="E51" t="n">
        <v>111</v>
      </c>
      <c r="F51" t="inlineStr"/>
      <c r="G51" t="n">
        <v>2757.7</v>
      </c>
      <c r="H51" t="n">
        <v>20.08787453469214</v>
      </c>
      <c r="I51" t="n">
        <v>13.55315702753459</v>
      </c>
    </row>
    <row r="52">
      <c r="A52" t="inlineStr">
        <is>
          <t>FLORENCE_2018</t>
        </is>
      </c>
      <c r="B52" t="n">
        <v>37103</v>
      </c>
      <c r="C52" t="inlineStr">
        <is>
          <t>NC</t>
        </is>
      </c>
      <c r="D52" t="n">
        <v>76</v>
      </c>
      <c r="E52" t="n">
        <v>76</v>
      </c>
      <c r="F52" t="inlineStr"/>
      <c r="G52" t="n">
        <v>30.36</v>
      </c>
      <c r="H52" t="n">
        <v>0.2211509123085373</v>
      </c>
      <c r="I52" t="n">
        <v>21.23652758695934</v>
      </c>
    </row>
    <row r="53">
      <c r="A53" t="inlineStr">
        <is>
          <t>FLORENCE_2018</t>
        </is>
      </c>
      <c r="B53" t="n">
        <v>37013</v>
      </c>
      <c r="C53" t="inlineStr">
        <is>
          <t>NC</t>
        </is>
      </c>
      <c r="D53" t="n">
        <v>24</v>
      </c>
      <c r="E53" t="n">
        <v>24</v>
      </c>
      <c r="F53" t="inlineStr"/>
      <c r="G53" t="n">
        <v>5391.429999999999</v>
      </c>
      <c r="H53" t="n">
        <v>39.27271617745775</v>
      </c>
      <c r="I53" t="n">
        <v>17.95524889105237</v>
      </c>
    </row>
    <row r="54">
      <c r="A54" t="inlineStr">
        <is>
          <t>FLORENCE_2018</t>
        </is>
      </c>
      <c r="B54" t="n">
        <v>37019</v>
      </c>
      <c r="C54" t="inlineStr">
        <is>
          <t>NC</t>
        </is>
      </c>
      <c r="D54" t="n">
        <v>1047</v>
      </c>
      <c r="E54" t="n">
        <v>1047</v>
      </c>
      <c r="F54" t="inlineStr"/>
      <c r="G54" t="n">
        <v>1439.57</v>
      </c>
      <c r="H54" t="n">
        <v>10.48623909196314</v>
      </c>
      <c r="I54" t="n">
        <v>17.18517689031453</v>
      </c>
    </row>
    <row r="55">
      <c r="A55" t="inlineStr">
        <is>
          <t>FLORENCE_2018</t>
        </is>
      </c>
      <c r="B55" t="n">
        <v>37133</v>
      </c>
      <c r="C55" t="inlineStr">
        <is>
          <t>NC</t>
        </is>
      </c>
      <c r="D55" t="n">
        <v>1549</v>
      </c>
      <c r="E55" t="n">
        <v>1549</v>
      </c>
      <c r="F55" t="inlineStr"/>
      <c r="G55" t="n">
        <v>1991.11</v>
      </c>
      <c r="H55" t="n">
        <v>14.50381399890157</v>
      </c>
      <c r="I55" t="n">
        <v>29.30327313610467</v>
      </c>
    </row>
    <row r="56">
      <c r="A56" t="inlineStr">
        <is>
          <t>FLORENCE_2018</t>
        </is>
      </c>
      <c r="B56" t="n">
        <v>37141</v>
      </c>
      <c r="C56" t="inlineStr">
        <is>
          <t>NC</t>
        </is>
      </c>
      <c r="D56" t="n">
        <v>483</v>
      </c>
      <c r="E56" t="n">
        <v>483</v>
      </c>
      <c r="F56" t="inlineStr"/>
      <c r="G56" t="n">
        <v>979.11</v>
      </c>
      <c r="H56" t="n">
        <v>7.132116921950328</v>
      </c>
      <c r="I56" t="n">
        <v>25.86802255527913</v>
      </c>
    </row>
    <row r="57">
      <c r="A57" t="inlineStr">
        <is>
          <t>FLORENCE_2018</t>
        </is>
      </c>
      <c r="B57" t="n">
        <v>37129</v>
      </c>
      <c r="C57" t="inlineStr">
        <is>
          <t>NC</t>
        </is>
      </c>
      <c r="D57" t="n">
        <v>1762</v>
      </c>
      <c r="E57" t="n">
        <v>1762</v>
      </c>
      <c r="F57" t="inlineStr"/>
      <c r="G57" t="n">
        <v>728.64</v>
      </c>
      <c r="H57" t="n">
        <v>5.307621895404895</v>
      </c>
      <c r="I57" t="n">
        <v>25.48463287589315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Counties in Model</t>
        </is>
      </c>
      <c r="C1" t="inlineStr">
        <is>
          <t>Counties with GT</t>
        </is>
      </c>
      <c r="D1" t="inlineStr">
        <is>
          <t>Total Displaced (est.)</t>
        </is>
      </c>
      <c r="E1" t="inlineStr">
        <is>
          <t>Total GT Shelter</t>
        </is>
      </c>
      <c r="F1" t="inlineStr">
        <is>
          <t>Total Tier 1 Estimate</t>
        </is>
      </c>
      <c r="G1" t="inlineStr">
        <is>
          <t>Avg Damage %</t>
        </is>
      </c>
    </row>
    <row r="2">
      <c r="A2" t="inlineStr">
        <is>
          <t>BERYL_2024</t>
        </is>
      </c>
      <c r="B2" t="n">
        <v>5</v>
      </c>
      <c r="C2" t="n">
        <v>5</v>
      </c>
      <c r="D2" t="n">
        <v>106318.19</v>
      </c>
      <c r="E2" t="n">
        <v>657</v>
      </c>
      <c r="F2" t="n">
        <v>774.4520656618052</v>
      </c>
      <c r="G2" t="n">
        <v>65.45732000000001</v>
      </c>
    </row>
    <row r="3">
      <c r="A3" t="inlineStr">
        <is>
          <t>FLORENCE_2018</t>
        </is>
      </c>
      <c r="B3" t="n">
        <v>9</v>
      </c>
      <c r="C3" t="n">
        <v>9</v>
      </c>
      <c r="D3" t="n">
        <v>22357.61</v>
      </c>
      <c r="E3" t="n">
        <v>6367</v>
      </c>
      <c r="F3" t="n">
        <v>162.8592176725454</v>
      </c>
      <c r="G3" t="n">
        <v>24.40114444444444</v>
      </c>
    </row>
    <row r="4">
      <c r="A4" t="inlineStr">
        <is>
          <t>HELENE_2024</t>
        </is>
      </c>
      <c r="B4" t="n">
        <v>16</v>
      </c>
      <c r="C4" t="n">
        <v>16</v>
      </c>
      <c r="D4" t="n">
        <v>617699.5</v>
      </c>
      <c r="E4" t="n">
        <v>551</v>
      </c>
      <c r="F4" t="n">
        <v>4499.499603344115</v>
      </c>
      <c r="G4" t="n">
        <v>62.36040625</v>
      </c>
    </row>
    <row r="5">
      <c r="A5" t="inlineStr">
        <is>
          <t>IDA_2021</t>
        </is>
      </c>
      <c r="B5" t="n">
        <v>17</v>
      </c>
      <c r="C5" t="n">
        <v>17</v>
      </c>
      <c r="D5" t="n">
        <v>816828.21</v>
      </c>
      <c r="E5" t="n">
        <v>3045</v>
      </c>
      <c r="F5" t="n">
        <v>5950.010007933118</v>
      </c>
      <c r="G5" t="n">
        <v>66.2522588235294</v>
      </c>
    </row>
    <row r="6">
      <c r="A6" t="inlineStr">
        <is>
          <t>MILTON_2024</t>
        </is>
      </c>
      <c r="B6" t="n">
        <v>9</v>
      </c>
      <c r="C6" t="n">
        <v>9</v>
      </c>
      <c r="D6" t="n">
        <v>236008.5199999999</v>
      </c>
      <c r="E6" t="n">
        <v>2138</v>
      </c>
      <c r="F6" t="n">
        <v>1719.153475315799</v>
      </c>
      <c r="G6" t="n">
        <v>69.1548111111111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Shelter Rate (median)</t>
        </is>
      </c>
      <c r="B2" t="inlineStr">
        <is>
          <t>0.73%</t>
        </is>
      </c>
      <c r="C2" t="inlineStr">
        <is>
          <t>Median of shelter_pop / displaced_pop across 55 observations</t>
        </is>
      </c>
    </row>
    <row r="3">
      <c r="A3" t="inlineStr">
        <is>
          <t>Average Household Size</t>
        </is>
      </c>
      <c r="B3" t="inlineStr">
        <is>
          <t>2.53 persons/building</t>
        </is>
      </c>
      <c r="C3" t="inlineStr">
        <is>
          <t>US Census Bureau national average</t>
        </is>
      </c>
    </row>
    <row r="4">
      <c r="A4" t="inlineStr">
        <is>
          <t>Max Shelter Rate Cap</t>
        </is>
      </c>
      <c r="B4" t="inlineStr">
        <is>
          <t>15% of county population</t>
        </is>
      </c>
      <c r="C4" t="inlineStr">
        <is>
          <t>Physical upper bound constraint</t>
        </is>
      </c>
    </row>
    <row r="5">
      <c r="A5" t="inlineStr">
        <is>
          <t>FEMA Displacement Threshold</t>
        </is>
      </c>
      <c r="B5" t="inlineStr">
        <is>
          <t>15% building damage</t>
        </is>
      </c>
      <c r="C5" t="inlineStr">
        <is>
          <t>FEMA standard: residential building &gt;15% damage = occupants displaced</t>
        </is>
      </c>
    </row>
    <row r="6">
      <c r="A6" t="inlineStr">
        <is>
          <t>Training Observations</t>
        </is>
      </c>
      <c r="B6" t="inlineStr">
        <is>
          <t>56 county-events</t>
        </is>
      </c>
      <c r="C6" t="inlineStr">
        <is>
          <t>Inner join of Ground Truth and FAST predictions</t>
        </is>
      </c>
    </row>
    <row r="7">
      <c r="A7" t="inlineStr">
        <is>
          <t>Events with Data</t>
        </is>
      </c>
      <c r="B7" t="inlineStr">
        <is>
          <t>Beryl, Florence, Helene, Ida, Milton</t>
        </is>
      </c>
      <c r="C7" t="inlineStr">
        <is>
          <t>5 events with FAST coverage overlapping GT counties</t>
        </is>
      </c>
    </row>
    <row r="8">
      <c r="A8" t="inlineStr">
        <is>
          <t>Events without FAST Coverage</t>
        </is>
      </c>
      <c r="B8" t="inlineStr">
        <is>
          <t>Debby, Ian, Idalia, Michael</t>
        </is>
      </c>
      <c r="C8" t="inlineStr">
        <is>
          <t>FAST predictions did not cover GT shelter counties</t>
        </is>
      </c>
    </row>
    <row r="9">
      <c r="A9" t="inlineStr">
        <is>
          <t>Model Version</t>
        </is>
      </c>
      <c r="B9" t="inlineStr">
        <is>
          <t>v1.0</t>
        </is>
      </c>
      <c r="C9" t="inlineStr">
        <is>
          <t>Deterministic Tier 1 with EVT intervals</t>
        </is>
      </c>
    </row>
    <row r="10">
      <c r="A10" t="inlineStr">
        <is>
          <t>Calibration Date</t>
        </is>
      </c>
      <c r="B10" t="inlineStr">
        <is>
          <t>2026-03-10</t>
        </is>
      </c>
      <c r="C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 FIPS</t>
        </is>
      </c>
      <c r="B1" t="inlineStr">
        <is>
          <t>County Name</t>
        </is>
      </c>
      <c r="C1" t="inlineStr">
        <is>
          <t>State</t>
        </is>
      </c>
      <c r="D1" t="inlineStr">
        <is>
          <t>N Res. Buildings Displaced</t>
        </is>
      </c>
      <c r="E1" t="inlineStr">
        <is>
          <t>Est. Displaced Pop (auto)</t>
        </is>
      </c>
      <c r="F1" t="inlineStr">
        <is>
          <t>Shelter Point Est (auto)</t>
        </is>
      </c>
      <c r="G1" t="inlineStr">
        <is>
          <t>Shelter Moderate (auto)</t>
        </is>
      </c>
      <c r="H1" t="inlineStr">
        <is>
          <t>Shelter Severe (auto)</t>
        </is>
      </c>
      <c r="I1" t="inlineStr">
        <is>
          <t>Notes</t>
        </is>
      </c>
    </row>
    <row r="2">
      <c r="A2" t="inlineStr"/>
      <c r="B2" t="inlineStr"/>
      <c r="C2" t="inlineStr"/>
      <c r="D2" t="n">
        <v>0</v>
      </c>
      <c r="E2">
        <f>D2*2.53</f>
        <v/>
      </c>
      <c r="F2">
        <f>E2*0.0073</f>
        <v/>
      </c>
      <c r="G2">
        <f>E2*0.022</f>
        <v/>
      </c>
      <c r="H2">
        <f>E2*0.073</f>
        <v/>
      </c>
      <c r="I2" t="inlineStr"/>
    </row>
    <row r="3">
      <c r="A3" t="inlineStr"/>
      <c r="B3" t="inlineStr"/>
      <c r="C3" t="inlineStr"/>
      <c r="D3" t="n">
        <v>0</v>
      </c>
      <c r="E3">
        <f>D3*2.53</f>
        <v/>
      </c>
      <c r="F3">
        <f>E3*0.0073</f>
        <v/>
      </c>
      <c r="G3">
        <f>E3*0.022</f>
        <v/>
      </c>
      <c r="H3">
        <f>E3*0.073</f>
        <v/>
      </c>
      <c r="I3" t="inlineStr"/>
    </row>
    <row r="4">
      <c r="A4" t="inlineStr"/>
      <c r="B4" t="inlineStr"/>
      <c r="C4" t="inlineStr"/>
      <c r="D4" t="n">
        <v>0</v>
      </c>
      <c r="E4">
        <f>D4*2.53</f>
        <v/>
      </c>
      <c r="F4">
        <f>E4*0.0073</f>
        <v/>
      </c>
      <c r="G4">
        <f>E4*0.022</f>
        <v/>
      </c>
      <c r="H4">
        <f>E4*0.073</f>
        <v/>
      </c>
      <c r="I4" t="inlineStr"/>
    </row>
    <row r="5">
      <c r="A5" t="inlineStr"/>
      <c r="B5" t="inlineStr"/>
      <c r="C5" t="inlineStr"/>
      <c r="D5" t="n">
        <v>0</v>
      </c>
      <c r="E5">
        <f>D5*2.53</f>
        <v/>
      </c>
      <c r="F5">
        <f>E5*0.0073</f>
        <v/>
      </c>
      <c r="G5">
        <f>E5*0.022</f>
        <v/>
      </c>
      <c r="H5">
        <f>E5*0.073</f>
        <v/>
      </c>
      <c r="I5" t="inlineStr"/>
    </row>
    <row r="6">
      <c r="A6" t="inlineStr"/>
      <c r="B6" t="inlineStr"/>
      <c r="C6" t="inlineStr"/>
      <c r="D6" t="n">
        <v>0</v>
      </c>
      <c r="E6">
        <f>D6*2.53</f>
        <v/>
      </c>
      <c r="F6">
        <f>E6*0.0073</f>
        <v/>
      </c>
      <c r="G6">
        <f>E6*0.022</f>
        <v/>
      </c>
      <c r="H6">
        <f>E6*0.073</f>
        <v/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2026-03-10T20:08:07Z</dcterms:created>
  <dcterms:modified xsi:type="dcterms:W3CDTF">2026-03-10T20:08:07Z</dcterms:modified>
</cp:coreProperties>
</file>